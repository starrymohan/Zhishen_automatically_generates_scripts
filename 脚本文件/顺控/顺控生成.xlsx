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filterPrivacy="1" codeName="ThisWorkbook" defaultThemeVersion="166925"/>
  <xr:revisionPtr revIDLastSave="0" documentId="13_ncr:1_{C0A106CF-5432-42C2-B3AE-50C51C758C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P2" i="1" l="1"/>
  <c r="Q2" i="1"/>
  <c r="R2" i="1"/>
  <c r="S2" i="1"/>
  <c r="T2" i="1"/>
  <c r="U2" i="1"/>
  <c r="V2" i="1"/>
  <c r="W2" i="1"/>
  <c r="X2" i="1"/>
  <c r="Y2" i="1"/>
  <c r="U3" i="1"/>
  <c r="V3" i="1"/>
  <c r="W3" i="1"/>
  <c r="X3" i="1"/>
  <c r="Y3" i="1"/>
  <c r="E2" i="1"/>
  <c r="G2" i="1" s="1"/>
  <c r="F2" i="1"/>
  <c r="E3" i="1"/>
  <c r="G3" i="1" s="1"/>
  <c r="F3" i="1"/>
  <c r="S3" i="1" l="1"/>
  <c r="R3" i="1"/>
  <c r="Q3" i="1"/>
  <c r="P3" i="1"/>
  <c r="O3" i="1"/>
  <c r="N3" i="1"/>
  <c r="M3" i="1"/>
  <c r="L3" i="1"/>
  <c r="O2" i="1"/>
  <c r="K3" i="1"/>
  <c r="N2" i="1"/>
  <c r="M2" i="1"/>
  <c r="L2" i="1"/>
  <c r="T3" i="1"/>
  <c r="K2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<sst xmlns="http://schemas.openxmlformats.org/spreadsheetml/2006/main" count="25" uniqueCount="25">
  <si>
    <t>站</t>
    <phoneticPr fontId="1" type="noConversion"/>
  </si>
  <si>
    <t>页</t>
    <phoneticPr fontId="1" type="noConversion"/>
  </si>
  <si>
    <t>域</t>
    <phoneticPr fontId="1" type="noConversion"/>
  </si>
  <si>
    <r>
      <t>G</t>
    </r>
    <r>
      <rPr>
        <sz val="12"/>
        <rFont val="宋体"/>
        <family val="3"/>
        <charset val="134"/>
      </rPr>
      <t>P</t>
    </r>
    <phoneticPr fontId="1" type="noConversion"/>
  </si>
  <si>
    <t>步数</t>
    <phoneticPr fontId="1" type="noConversion"/>
  </si>
  <si>
    <t>算法名AZ</t>
  </si>
  <si>
    <t>GPMSTA</t>
  </si>
  <si>
    <t>GPMSTB</t>
  </si>
  <si>
    <t>GPSTART</t>
  </si>
  <si>
    <t>GPFDB</t>
  </si>
  <si>
    <t>GPDEV01</t>
    <phoneticPr fontId="1" type="noConversion"/>
  </si>
  <si>
    <t>GPDEV02</t>
  </si>
  <si>
    <t>GPDEV03</t>
  </si>
  <si>
    <t>GPDEV04</t>
  </si>
  <si>
    <t>GPDEV05</t>
  </si>
  <si>
    <t>GPDEV06</t>
  </si>
  <si>
    <t>GPDEV07</t>
  </si>
  <si>
    <t>GPDEV08</t>
  </si>
  <si>
    <t>GPDEV09</t>
  </si>
  <si>
    <t>GPDEV10</t>
  </si>
  <si>
    <t>GPDEV11</t>
  </si>
  <si>
    <t>GPDEV12</t>
  </si>
  <si>
    <t>GPDEV13</t>
  </si>
  <si>
    <t>GPDEV14</t>
  </si>
  <si>
    <t>GPDEV15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</si>
</sst>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3"/>
  <sheetViews>
    <sheetView tabSelected="1" workbookViewId="0">
      <selection activeCell="G5" sqref="G5"/>
    </sheetView>
  </sheetViews>
  <sheetFormatPr defaultRowHeight="14.25" x14ac:dyDescent="0.15"/>
  <cols>
    <col min="1" max="2" width="3.5" bestFit="1" customWidth="1"/>
    <col min="3" max="3" width="4.5" bestFit="1" customWidth="1"/>
    <col min="4" max="4" width="5.5" bestFit="1" customWidth="1"/>
    <col min="5" max="5" width="8.5" bestFit="1" customWidth="1"/>
    <col min="6" max="6" width="9.5" bestFit="1" customWidth="1"/>
    <col min="7" max="8" width="12.75" bestFit="1" customWidth="1"/>
    <col min="9" max="9" width="13.875" customWidth="1"/>
    <col min="10" max="10" width="11.625" bestFit="1" customWidth="1"/>
    <col min="11" max="13" width="13.875" bestFit="1" customWidth="1"/>
    <col min="14" max="25" width="8.5" bestFit="1" customWidth="1"/>
  </cols>
  <sheetData>
    <row r="1" spans="1:25" x14ac:dyDescent="0.15">
      <c r="A1" t="s">
        <v>2</v>
      </c>
      <c r="B1" t="s">
        <v>0</v>
      </c>
      <c r="C1" t="s">
        <v>1</v>
      </c>
      <c r="D1" s="1" t="s">
        <v>4</v>
      </c>
      <c r="E1" s="1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>
        <v>63</v>
      </c>
      <c r="B2">
        <v>21</v>
      </c>
      <c r="C2">
        <v>170</v>
      </c>
      <c r="D2">
        <v>5</v>
      </c>
      <c r="E2" t="str">
        <f t="shared" ref="E2:E3" si="0">"G"&amp;IF(LEN(B2)=2,B2,"0"&amp;B2)&amp;"P"&amp;IF(LEN(C2)&gt;2,C2,IF(LEN(C2)=2,"0"&amp;C2,"00"&amp;C2))</f>
        <v>G21P170</v>
      </c>
      <c r="F2" t="str">
        <f t="shared" ref="F2:F3" si="1">"A"&amp;IF(LEN(B2)=2,B2,"0"&amp;B2)&amp;"Z"&amp;IF(LEN(C2)&gt;2,C2,IF(LEN(C2)=2,"0"&amp;C2,"00"&amp;C2))</f>
        <v>A21Z170</v>
      </c>
      <c r="G2" t="str">
        <f t="shared" ref="G2:G3" si="2">E2&amp;"MSTA"</f>
        <v>G21P170MSTA</v>
      </c>
      <c r="H2" t="str">
        <f t="shared" ref="H2:H3" si="3">E2&amp;"MSTB"</f>
        <v>G21P170MSTB</v>
      </c>
      <c r="I2" t="str">
        <f t="shared" ref="I2:I3" si="4">E2&amp;"START"</f>
        <v>G21P170START</v>
      </c>
      <c r="J2" t="str">
        <f t="shared" ref="J2:J3" si="5">E2&amp;"FDB"</f>
        <v>G21P170FDB</v>
      </c>
      <c r="K2" t="str">
        <f t="shared" ref="K2:K3" si="6">IF($D2&lt;_xlfn.NUMBERVALUE(RIGHT(K$1,2)),"",$E2&amp;RIGHT(K$1,5))</f>
        <v>G21P170DEV01</v>
      </c>
      <c r="L2" t="str">
        <f t="shared" ref="L2:Y3" si="7">IF($D2&lt;_xlfn.NUMBERVALUE(RIGHT(L$1,2)),"",$E2&amp;RIGHT(L$1,5))</f>
        <v>G21P170DEV02</v>
      </c>
      <c r="M2" t="str">
        <f t="shared" si="7"/>
        <v>G21P170DEV03</v>
      </c>
      <c r="N2" t="str">
        <f t="shared" si="7"/>
        <v>G21P170DEV04</v>
      </c>
      <c r="O2" t="str">
        <f t="shared" si="7"/>
        <v>G21P170DEV05</v>
      </c>
      <c r="P2" t="str">
        <f t="shared" si="7"/>
        <v/>
      </c>
      <c r="Q2" t="str">
        <f t="shared" si="7"/>
        <v/>
      </c>
      <c r="R2" t="str">
        <f t="shared" si="7"/>
        <v/>
      </c>
      <c r="S2" t="str">
        <f t="shared" si="7"/>
        <v/>
      </c>
      <c r="T2" t="str">
        <f t="shared" si="7"/>
        <v/>
      </c>
      <c r="U2" t="str">
        <f t="shared" si="7"/>
        <v/>
      </c>
      <c r="V2" t="str">
        <f t="shared" si="7"/>
        <v/>
      </c>
      <c r="W2" t="str">
        <f t="shared" si="7"/>
        <v/>
      </c>
      <c r="X2" t="str">
        <f t="shared" si="7"/>
        <v/>
      </c>
      <c r="Y2" t="str">
        <f t="shared" si="7"/>
        <v/>
      </c>
    </row>
    <row r="3" spans="1:25" x14ac:dyDescent="0.15">
      <c r="A3">
        <v>63</v>
      </c>
      <c r="B3">
        <v>21</v>
      </c>
      <c r="C3">
        <v>172</v>
      </c>
      <c r="D3">
        <v>5</v>
      </c>
      <c r="E3" t="str">
        <f t="shared" si="0"/>
        <v>G21P172</v>
      </c>
      <c r="F3" t="str">
        <f t="shared" si="1"/>
        <v>A21Z172</v>
      </c>
      <c r="G3" t="str">
        <f t="shared" si="2"/>
        <v>G21P172MSTA</v>
      </c>
      <c r="H3" t="str">
        <f t="shared" si="3"/>
        <v>G21P172MSTB</v>
      </c>
      <c r="I3" t="str">
        <f t="shared" si="4"/>
        <v>G21P172START</v>
      </c>
      <c r="J3" t="str">
        <f t="shared" si="5"/>
        <v>G21P172FDB</v>
      </c>
      <c r="K3" t="str">
        <f t="shared" si="6"/>
        <v>G21P172DEV01</v>
      </c>
      <c r="L3" t="str">
        <f t="shared" si="7"/>
        <v>G21P172DEV02</v>
      </c>
      <c r="M3" t="str">
        <f t="shared" si="7"/>
        <v>G21P172DEV03</v>
      </c>
      <c r="N3" t="str">
        <f t="shared" si="7"/>
        <v>G21P172DEV04</v>
      </c>
      <c r="O3" t="str">
        <f t="shared" si="7"/>
        <v>G21P172DEV05</v>
      </c>
      <c r="P3" t="str">
        <f t="shared" si="7"/>
        <v/>
      </c>
      <c r="Q3" t="str">
        <f t="shared" si="7"/>
        <v/>
      </c>
      <c r="R3" t="str">
        <f t="shared" si="7"/>
        <v/>
      </c>
      <c r="S3" t="str">
        <f t="shared" si="7"/>
        <v/>
      </c>
      <c r="T3" t="str">
        <f t="shared" si="7"/>
        <v/>
      </c>
      <c r="U3" t="str">
        <f t="shared" si="7"/>
        <v/>
      </c>
      <c r="V3" t="str">
        <f t="shared" si="7"/>
        <v/>
      </c>
      <c r="W3" t="str">
        <f t="shared" si="7"/>
        <v/>
      </c>
      <c r="X3" t="str">
        <f t="shared" si="7"/>
        <v/>
      </c>
      <c r="Y3" t="str">
        <f t="shared" si="7"/>
        <v/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2023-08-30T07:20:19Z</dcterms:modified>
</cp:coreProperties>
</file>